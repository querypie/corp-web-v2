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RtS1ndIrH33kEjMbiTTc7E1JFCwM4H0ae4lgzsjY1JY="/>
    </ext>
  </extLst>
</workbook>
</file>

<file path=xl/sharedStrings.xml><?xml version="1.0" encoding="utf-8"?>
<sst xmlns="http://schemas.openxmlformats.org/spreadsheetml/2006/main" count="25" uniqueCount="25">
  <si>
    <r>
      <rPr>
        <rFont val="Arial"/>
        <b/>
        <color rgb="FF000000"/>
        <sz val="15.0"/>
      </rPr>
      <t>発注書  ORDER</t>
    </r>
    <r>
      <rPr>
        <rFont val="Arial"/>
        <b/>
        <color rgb="FF000000"/>
        <sz val="13.0"/>
      </rPr>
      <t xml:space="preserve">
</t>
    </r>
    <r>
      <rPr>
        <rFont val="Arial"/>
        <b/>
        <color rgb="FF000000"/>
        <sz val="14.0"/>
      </rPr>
      <t>株式会社ビジョン 御中</t>
    </r>
  </si>
  <si>
    <r>
      <rPr>
        <rFont val="Arial"/>
        <b/>
        <color rgb="FF000000"/>
        <sz val="13.0"/>
      </rPr>
      <t xml:space="preserve">QueryPIe AI </t>
    </r>
    <r>
      <rPr>
        <rFont val="ヒラギノ明朝 ProN W6"/>
        <b/>
        <color rgb="FF000000"/>
        <sz val="13.0"/>
      </rPr>
      <t>合同会社</t>
    </r>
  </si>
  <si>
    <t>発行日 :                   2026/07/13
有効期限 :               2026/08/12
見積もりNO# :         QPJ-260713-001
支払い期日 :            請求書発行月締め、翌月末支払い</t>
  </si>
  <si>
    <t>総合計（税込）</t>
  </si>
  <si>
    <t>項目名</t>
  </si>
  <si>
    <t>詳細</t>
  </si>
  <si>
    <t>Qty</t>
  </si>
  <si>
    <t>Credit</t>
  </si>
  <si>
    <t>単価</t>
  </si>
  <si>
    <t>合計</t>
  </si>
  <si>
    <t>備考</t>
  </si>
  <si>
    <t>QP-AIP0615APP-Credit</t>
  </si>
  <si>
    <t xml:space="preserve">AIP Application Credit </t>
  </si>
  <si>
    <t xml:space="preserve">
●クレジットは１年間有効
● LLM+AWSなど利用料も含む
●クレジット残は次年度への繰り越しは不可
</t>
  </si>
  <si>
    <t>消費税</t>
  </si>
  <si>
    <t>TOTAL</t>
  </si>
  <si>
    <r>
      <rPr>
        <rFont val="Arial"/>
        <b/>
        <color rgb="FF000000"/>
        <sz val="9.0"/>
      </rPr>
      <t>備考 Remarks</t>
    </r>
  </si>
  <si>
    <t>記載条件で発注いたします。</t>
  </si>
  <si>
    <t>発注日：</t>
  </si>
  <si>
    <t>希望納期：</t>
  </si>
  <si>
    <t>発注者会社：</t>
  </si>
  <si>
    <t>株式会社ビジョン</t>
  </si>
  <si>
    <t>ご担当者：</t>
  </si>
  <si>
    <t>署名</t>
  </si>
  <si>
    <t>部署：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</si>
</sst>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¥#,##0"/>
    <numFmt numFmtId="165" formatCode="yyyy年m月d日"/>
  </numFmts>
  <fonts count="17">
    <font>
      <sz val="10.0"/>
      <color rgb="FF000000"/>
      <name val="Times New Roman"/>
      <scheme val="minor"/>
    </font>
    <font>
      <b/>
      <sz val="13.0"/>
      <color rgb="FF000000"/>
      <name val="Arial"/>
    </font>
    <font>
      <sz val="13.0"/>
      <color rgb="FF000000"/>
      <name val="Times New Roman"/>
    </font>
    <font>
      <sz val="9.0"/>
      <color rgb="FF000000"/>
      <name val="Arial"/>
    </font>
    <font>
      <b/>
      <sz val="11.0"/>
      <color rgb="FF000000"/>
      <name val="Times New Roman"/>
    </font>
    <font>
      <b/>
      <sz val="11.0"/>
      <color theme="1"/>
      <name val="Arial"/>
    </font>
    <font>
      <b/>
      <sz val="11.0"/>
      <color rgb="FF000000"/>
      <name val="Arial"/>
    </font>
    <font/>
    <font>
      <sz val="10.0"/>
      <color rgb="FF000000"/>
      <name val="Times New Roman"/>
    </font>
    <font>
      <b/>
      <sz val="9.0"/>
      <color theme="1"/>
      <name val="Arial"/>
    </font>
    <font>
      <sz val="9.0"/>
      <color theme="1"/>
      <name val="Arial"/>
    </font>
    <font>
      <sz val="8.0"/>
      <color rgb="FF000000"/>
      <name val="Times New Roman"/>
    </font>
    <font>
      <sz val="8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9.0"/>
      <color theme="1"/>
      <name val="Times New Roman"/>
    </font>
    <font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8DAF8"/>
        <bgColor rgb="FFC8DAF8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0F3F4"/>
        <bgColor rgb="FFF0F3F4"/>
      </patternFill>
    </fill>
    <fill>
      <patternFill patternType="solid">
        <fgColor rgb="FFB6DDE8"/>
        <bgColor rgb="FFB6DDE8"/>
      </patternFill>
    </fill>
  </fills>
  <borders count="25">
    <border/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A4A4A4"/>
      </right>
      <top style="thin">
        <color rgb="FF000000"/>
      </top>
      <bottom style="thin">
        <color rgb="FFA4A4A4"/>
      </bottom>
    </border>
    <border>
      <left style="thin">
        <color rgb="FFA4A4A4"/>
      </left>
      <bottom style="thin">
        <color rgb="FFA4A4A4"/>
      </bottom>
    </border>
    <border>
      <bottom style="thin">
        <color rgb="FFA4A4A4"/>
      </bottom>
    </border>
    <border>
      <right style="thin">
        <color rgb="FFA4A4A4"/>
      </right>
      <bottom style="thin">
        <color rgb="FFA4A4A4"/>
      </bottom>
    </border>
    <border>
      <left style="thin">
        <color rgb="FFA4A4A4"/>
      </left>
      <right style="thin">
        <color rgb="FFA4A4A4"/>
      </right>
      <top style="thin">
        <color rgb="FF000000"/>
      </top>
      <bottom style="thin">
        <color rgb="FFA4A4A4"/>
      </bottom>
    </border>
    <border>
      <left style="thin">
        <color rgb="FFA4A4A4"/>
      </left>
      <right style="thin">
        <color rgb="FF999999"/>
      </right>
      <top style="thin">
        <color rgb="FF000000"/>
      </top>
      <bottom style="thin">
        <color rgb="FFA4A4A4"/>
      </bottom>
    </border>
    <border>
      <left style="thin">
        <color rgb="FF999999"/>
      </left>
      <top style="thin">
        <color rgb="FFA4A4A4"/>
      </top>
      <bottom style="thin">
        <color rgb="FFA4A4A4"/>
      </bottom>
    </border>
    <border>
      <top style="thin">
        <color rgb="FFA4A4A4"/>
      </top>
      <bottom style="thin">
        <color rgb="FFA4A4A4"/>
      </bottom>
    </border>
    <border>
      <right style="thin">
        <color rgb="FFA4A4A4"/>
      </right>
      <top style="thin">
        <color rgb="FFA4A4A4"/>
      </top>
      <bottom style="thin">
        <color rgb="FFA4A4A4"/>
      </bottom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</border>
    <border>
      <left style="thin">
        <color rgb="FFA4A4A4"/>
      </left>
      <right style="thin">
        <color rgb="FF999999"/>
      </right>
      <top style="thin">
        <color rgb="FFA4A4A4"/>
      </top>
      <bottom style="thin">
        <color rgb="FFA4A4A4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1" vertical="center" wrapText="0"/>
    </xf>
    <xf borderId="3" fillId="0" fontId="7" numFmtId="0" xfId="0" applyAlignment="1" applyBorder="1" applyFont="1">
      <alignment horizontal="left" vertical="top"/>
    </xf>
    <xf borderId="4" fillId="0" fontId="7" numFmtId="0" xfId="0" applyAlignment="1" applyBorder="1" applyFont="1">
      <alignment horizontal="left" vertical="top"/>
    </xf>
    <xf borderId="0" fillId="0" fontId="4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top" wrapText="1"/>
    </xf>
    <xf borderId="5" fillId="2" fontId="9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horizontal="center" shrinkToFit="0" vertical="center" wrapText="1"/>
    </xf>
    <xf borderId="7" fillId="0" fontId="7" numFmtId="0" xfId="0" applyAlignment="1" applyBorder="1" applyFont="1">
      <alignment horizontal="left" vertical="top"/>
    </xf>
    <xf borderId="8" fillId="0" fontId="7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center"/>
    </xf>
    <xf borderId="9" fillId="3" fontId="10" numFmtId="0" xfId="0" applyAlignment="1" applyBorder="1" applyFill="1" applyFont="1">
      <alignment horizontal="center" readingOrder="0" vertical="center"/>
    </xf>
    <xf borderId="10" fillId="3" fontId="10" numFmtId="0" xfId="0" applyAlignment="1" applyBorder="1" applyFill="1" applyFont="1">
      <alignment horizontal="center" readingOrder="0" vertical="center"/>
    </xf>
    <xf borderId="11" fillId="0" fontId="7" numFmtId="0" xfId="0" applyAlignment="1" applyBorder="1" applyFont="1">
      <alignment horizontal="left" vertical="top"/>
    </xf>
    <xf borderId="12" fillId="0" fontId="7" numFmtId="0" xfId="0" applyAlignment="1" applyBorder="1" applyFont="1">
      <alignment horizontal="left" vertical="top"/>
    </xf>
    <xf borderId="5" fillId="4" fontId="3" numFmtId="1" xfId="0" applyAlignment="1" applyBorder="1" applyFill="1" applyFont="1" applyNumberFormat="1">
      <alignment horizontal="center" shrinkToFit="1" vertical="center" wrapText="0"/>
    </xf>
    <xf borderId="5" fillId="5" fontId="3" numFmtId="3" xfId="0" applyAlignment="1" applyBorder="1" applyFill="1" applyFont="1" applyNumberFormat="1">
      <alignment horizontal="center" readingOrder="0" shrinkToFit="1" vertical="center" wrapText="0"/>
    </xf>
    <xf borderId="5" fillId="4" fontId="3" numFmtId="164" xfId="0" applyAlignment="1" applyBorder="1" applyFill="1" applyFont="1" applyNumberFormat="1">
      <alignment horizontal="center" readingOrder="0" shrinkToFit="1" vertical="center" wrapText="0"/>
    </xf>
    <xf borderId="5" fillId="4" fontId="3" numFmtId="164" xfId="0" applyAlignment="1" applyBorder="1" applyFill="1" applyFont="1" applyNumberFormat="1">
      <alignment horizontal="center" shrinkToFit="1" vertical="center" wrapText="0"/>
    </xf>
    <xf borderId="13" fillId="4" fontId="11" numFmtId="0" xfId="0" applyAlignment="1" applyBorder="1" applyFill="1" applyFont="1">
      <alignment horizontal="left" readingOrder="0" shrinkToFit="0" vertical="center" wrapText="1"/>
    </xf>
    <xf borderId="14" fillId="4" fontId="12" numFmtId="0" xfId="0" applyAlignment="1" applyBorder="1" applyFill="1" applyFont="1">
      <alignment horizontal="center" shrinkToFit="0" vertical="center" wrapText="1"/>
    </xf>
    <xf borderId="15" fillId="4" fontId="8" numFmtId="0" xfId="0" applyAlignment="1" applyBorder="1" applyFill="1" applyFont="1">
      <alignment horizontal="left" shrinkToFit="0" vertical="center" wrapText="1"/>
    </xf>
    <xf borderId="16" fillId="0" fontId="7" numFmtId="0" xfId="0" applyAlignment="1" applyBorder="1" applyFont="1">
      <alignment horizontal="left" vertical="top"/>
    </xf>
    <xf borderId="17" fillId="0" fontId="7" numFmtId="0" xfId="0" applyAlignment="1" applyBorder="1" applyFont="1">
      <alignment horizontal="left" vertical="top"/>
    </xf>
    <xf borderId="18" fillId="4" fontId="8" numFmtId="0" xfId="0" applyAlignment="1" applyBorder="1" applyFill="1" applyFont="1">
      <alignment horizontal="left" shrinkToFit="0" vertical="center" wrapText="1"/>
    </xf>
    <xf borderId="18" fillId="4" fontId="3" numFmtId="164" xfId="0" applyAlignment="1" applyBorder="1" applyFill="1" applyFont="1" applyNumberFormat="1">
      <alignment horizontal="center" shrinkToFit="1" vertical="center" wrapText="0"/>
    </xf>
    <xf borderId="19" fillId="4" fontId="8" numFmtId="0" xfId="0" applyAlignment="1" applyBorder="1" applyFill="1" applyFont="1">
      <alignment horizontal="left" shrinkToFit="0" vertical="center" wrapText="1"/>
    </xf>
    <xf borderId="20" fillId="6" fontId="13" numFmtId="0" xfId="0" applyAlignment="1" applyBorder="1" applyFill="1" applyFont="1">
      <alignment horizontal="center" shrinkToFit="0" vertical="center" wrapText="1"/>
    </xf>
    <xf borderId="21" fillId="0" fontId="7" numFmtId="0" xfId="0" applyAlignment="1" applyBorder="1" applyFont="1">
      <alignment horizontal="left" vertical="top"/>
    </xf>
    <xf borderId="22" fillId="0" fontId="7" numFmtId="0" xfId="0" applyAlignment="1" applyBorder="1" applyFont="1">
      <alignment horizontal="left" vertical="top"/>
    </xf>
    <xf borderId="23" fillId="6" fontId="14" numFmtId="164" xfId="0" applyAlignment="1" applyBorder="1" applyFill="1" applyFont="1" applyNumberFormat="1">
      <alignment horizontal="center" shrinkToFit="1" vertical="center" wrapText="0"/>
    </xf>
    <xf borderId="24" fillId="6" fontId="8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vertical="top"/>
    </xf>
    <xf borderId="6" fillId="5" fontId="8" numFmtId="0" xfId="0" applyAlignment="1" applyBorder="1" applyFill="1" applyFont="1">
      <alignment horizontal="left" shrinkToFit="0" vertical="top" wrapText="1"/>
    </xf>
    <xf borderId="0" fillId="0" fontId="16" numFmtId="0" xfId="0" applyAlignment="1" applyFont="1">
      <alignment horizontal="left" vertical="top"/>
    </xf>
    <xf borderId="0" fillId="0" fontId="16" numFmtId="0" xfId="0" applyAlignment="1" applyFont="1">
      <alignment horizontal="right" vertical="center"/>
    </xf>
    <xf borderId="0" fillId="0" fontId="16" numFmtId="165" xfId="0" applyAlignment="1" applyFont="1" applyNumberFormat="1">
      <alignment horizontal="left" vertical="center"/>
    </xf>
    <xf borderId="0" fillId="0" fontId="16" numFmtId="0" xfId="0" applyAlignment="1" applyFont="1">
      <alignment horizontal="left" readingOrder="0" vertical="center"/>
    </xf>
    <xf borderId="0" fillId="0" fontId="16" numFmtId="0" xfId="0" applyAlignment="1" applyFont="1">
      <alignment horizontal="right" readingOrder="0" vertical="center"/>
    </xf>
    <xf borderId="0" fillId="0" fontId="16" numFmtId="0" xfId="0" applyAlignment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790575</xdr:rowOff>
    </xdr:from>
    <xdr:ext cx="6257925" cy="95250"/>
    <xdr:sp>
      <xdr:nvSpPr>
        <xdr:cNvPr id="3" name="Shape 3"/>
        <xdr:cNvSpPr/>
      </xdr:nvSpPr>
      <xdr:spPr>
        <a:xfrm>
          <a:off x="2221800" y="3737138"/>
          <a:ext cx="6248400" cy="85725"/>
        </a:xfrm>
        <a:custGeom>
          <a:rect b="b" l="l" r="r" t="t"/>
          <a:pathLst>
            <a:path extrusionOk="0" h="120000" w="6201410">
              <a:moveTo>
                <a:pt x="0" y="0"/>
              </a:moveTo>
              <a:lnTo>
                <a:pt x="6200808" y="0"/>
              </a:lnTo>
            </a:path>
          </a:pathLst>
        </a:custGeom>
        <a:noFill/>
        <a:ln cap="flat" cmpd="sng" w="9525">
          <a:solidFill>
            <a:srgbClr val="E1E3E6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0</xdr:colOff>
      <xdr:row>3</xdr:row>
      <xdr:rowOff>142875</xdr:rowOff>
    </xdr:from>
    <xdr:ext cx="6257925" cy="95250"/>
    <xdr:sp>
      <xdr:nvSpPr>
        <xdr:cNvPr id="3" name="Shape 3"/>
        <xdr:cNvSpPr/>
      </xdr:nvSpPr>
      <xdr:spPr>
        <a:xfrm>
          <a:off x="2221800" y="3737138"/>
          <a:ext cx="6248400" cy="85725"/>
        </a:xfrm>
        <a:custGeom>
          <a:rect b="b" l="l" r="r" t="t"/>
          <a:pathLst>
            <a:path extrusionOk="0" h="120000" w="6201410">
              <a:moveTo>
                <a:pt x="0" y="0"/>
              </a:moveTo>
              <a:lnTo>
                <a:pt x="6200808" y="0"/>
              </a:lnTo>
            </a:path>
          </a:pathLst>
        </a:custGeom>
        <a:noFill/>
        <a:ln cap="flat" cmpd="sng" w="9525">
          <a:solidFill>
            <a:srgbClr val="E1E3E6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7</xdr:col>
      <xdr:colOff>200025</xdr:colOff>
      <xdr:row>0</xdr:row>
      <xdr:rowOff>571500</xdr:rowOff>
    </xdr:from>
    <xdr:ext cx="12001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8.57"/>
    <col customWidth="1" min="3" max="3" width="12.29"/>
    <col customWidth="1" min="4" max="4" width="2.71"/>
    <col customWidth="1" min="5" max="5" width="9.0"/>
    <col customWidth="1" min="6" max="6" width="14.86"/>
    <col customWidth="1" min="7" max="7" width="13.0"/>
    <col customWidth="1" min="8" max="8" width="15.86"/>
    <col customWidth="1" min="9" max="9" width="34.57"/>
    <col customWidth="1" min="10" max="26" width="8.86"/>
  </cols>
  <sheetData>
    <row r="1" ht="102.75" customHeight="1">
      <c r="A1" s="1" t="s">
        <v>0</v>
      </c>
      <c r="D1" s="2" t="s">
        <v>1</v>
      </c>
    </row>
    <row r="2" ht="99.75" customHeight="1">
      <c r="A2" s="3" t="s">
        <v>2</v>
      </c>
    </row>
    <row r="3" ht="22.5" customHeight="1">
      <c r="A3" s="4"/>
      <c r="B3" s="5" t="s">
        <v>3</v>
      </c>
      <c r="C3" s="6">
        <f>H8</f>
        <v>396000</v>
      </c>
      <c r="D3" s="7"/>
      <c r="E3" s="7"/>
      <c r="F3" s="7"/>
      <c r="G3" s="8"/>
      <c r="H3" s="4"/>
      <c r="I3" s="4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0" customHeight="1">
      <c r="A4" s="10"/>
      <c r="B4" s="10"/>
      <c r="C4" s="10"/>
      <c r="D4" s="10"/>
      <c r="E4" s="10"/>
      <c r="F4" s="10"/>
      <c r="G4" s="10"/>
      <c r="H4" s="10"/>
      <c r="I4" s="10"/>
    </row>
    <row r="5" ht="24.75" customHeight="1">
      <c r="A5" s="11" t="s">
        <v>4</v>
      </c>
      <c r="B5" s="12" t="s">
        <v>5</v>
      </c>
      <c r="C5" s="13"/>
      <c r="D5" s="14"/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60.0" customHeight="1">
      <c r="A6" s="16" t="s">
        <v>11</v>
      </c>
      <c r="B6" s="17" t="s">
        <v>12</v>
      </c>
      <c r="C6" s="18"/>
      <c r="D6" s="19"/>
      <c r="E6" s="20">
        <v>1.0</v>
      </c>
      <c r="F6" s="21">
        <v>72000.0</v>
      </c>
      <c r="G6" s="22">
        <v>360000.0</v>
      </c>
      <c r="H6" s="23">
        <f>G6*E6</f>
        <v>360000</v>
      </c>
      <c r="I6" s="24" t="s">
        <v>13</v>
      </c>
    </row>
    <row r="7" ht="33.0" customHeight="1">
      <c r="A7" s="25" t="s">
        <v>14</v>
      </c>
      <c r="B7" s="26"/>
      <c r="C7" s="27"/>
      <c r="D7" s="28"/>
      <c r="E7" s="29"/>
      <c r="F7" s="29"/>
      <c r="G7" s="29"/>
      <c r="H7" s="30">
        <f>H6*0.1</f>
        <v>36000</v>
      </c>
      <c r="I7" s="31"/>
    </row>
    <row r="8" ht="24.0" customHeight="1">
      <c r="A8" s="32" t="s">
        <v>15</v>
      </c>
      <c r="B8" s="33"/>
      <c r="C8" s="33"/>
      <c r="D8" s="33"/>
      <c r="E8" s="33"/>
      <c r="F8" s="33"/>
      <c r="G8" s="34"/>
      <c r="H8" s="35">
        <f>H6+H7</f>
        <v>396000</v>
      </c>
      <c r="I8" s="36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22.5" customHeight="1">
      <c r="A9" s="38" t="s">
        <v>16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27.0" customHeight="1">
      <c r="A10" s="40"/>
      <c r="B10" s="13"/>
      <c r="C10" s="13"/>
      <c r="D10" s="13"/>
      <c r="E10" s="13"/>
      <c r="F10" s="13"/>
      <c r="G10" s="13"/>
      <c r="H10" s="13"/>
      <c r="I10" s="14"/>
    </row>
    <row r="12">
      <c r="A12" s="41" t="s">
        <v>17</v>
      </c>
    </row>
    <row r="14" ht="25.5" customHeight="1">
      <c r="A14" s="42" t="s">
        <v>18</v>
      </c>
    </row>
    <row r="15" ht="32.25" customHeight="1">
      <c r="A15" s="42" t="s">
        <v>19</v>
      </c>
      <c r="B15" s="43"/>
    </row>
    <row r="16" ht="31.5" customHeight="1">
      <c r="A16" s="42" t="s">
        <v>20</v>
      </c>
      <c r="B16" s="44" t="s">
        <v>21</v>
      </c>
    </row>
    <row r="17" ht="30.0" customHeight="1">
      <c r="A17" s="45" t="s">
        <v>22</v>
      </c>
      <c r="B17" s="46"/>
      <c r="C17" s="46" t="s">
        <v>23</v>
      </c>
    </row>
    <row r="18" ht="33.75" customHeight="1">
      <c r="A18" s="42" t="s">
        <v>24</v>
      </c>
      <c r="B18" s="4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A8:G8"/>
    <mergeCell ref="A9:I9"/>
    <mergeCell ref="A10:I10"/>
    <mergeCell ref="A1:C1"/>
    <mergeCell ref="D1:I1"/>
    <mergeCell ref="A2:I2"/>
    <mergeCell ref="C3:G3"/>
    <mergeCell ref="B5:D5"/>
    <mergeCell ref="B6:D6"/>
    <mergeCell ref="B7:D7"/>
  </mergeCells>
  <conditionalFormatting sqref="F6">
    <cfRule type="notContainsBlanks" dxfId="0" priority="1">
      <formula>LEN(TRIM(F6))&gt;0</formula>
    </cfRule>
  </conditionalFormatting>
  <printOptions/>
  <pageMargins bottom="0.75" footer="0.0" header="0.0" left="0.7" right="0.7" top="0.75"/>
  <pageSetup fitToWidth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2026-01-08T11:57:54Z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2026-01-08T00:00:00Z</vt:filetime>
  </property>
</Properties>
</file>